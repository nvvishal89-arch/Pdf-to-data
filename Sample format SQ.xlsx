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Arten\Projects\24-25\Default\"/>
    </mc:Choice>
  </mc:AlternateContent>
  <xr:revisionPtr revIDLastSave="0" documentId="13_ncr:1_{5B6E6AFB-71F5-4C62-8B24-E03BC7514EA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2" l="1"/>
  <c r="J32" i="2" s="1"/>
  <c r="J33" i="2" s="1"/>
  <c r="B26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K10" i="2"/>
</calcChain>
</file>

<file path=xl/sharedStrings.xml><?xml version="1.0" encoding="utf-8"?>
<sst xmlns="http://schemas.openxmlformats.org/spreadsheetml/2006/main" count="35" uniqueCount="35">
  <si>
    <t>Sales Quotation</t>
  </si>
  <si>
    <t>Project Name</t>
  </si>
  <si>
    <t>Date</t>
  </si>
  <si>
    <t>S.No.</t>
  </si>
  <si>
    <t>Name</t>
  </si>
  <si>
    <t>Refrence Image</t>
  </si>
  <si>
    <t>Price</t>
  </si>
  <si>
    <t>Qty</t>
  </si>
  <si>
    <t>Amount</t>
  </si>
  <si>
    <t>Remarks</t>
  </si>
  <si>
    <t>Area</t>
  </si>
  <si>
    <t>Total</t>
  </si>
  <si>
    <t>GST (18%)</t>
  </si>
  <si>
    <t>Total After Taxes</t>
  </si>
  <si>
    <t>ARTEN LIFESTYLE PVT. LTD.</t>
  </si>
  <si>
    <t>Terms &amp; Conditions</t>
  </si>
  <si>
    <t>Specs.</t>
  </si>
  <si>
    <r>
      <t>1. Validity of Quotation</t>
    </r>
    <r>
      <rPr>
        <sz val="11"/>
        <color theme="1"/>
        <rFont val="Calibri"/>
        <family val="2"/>
        <scheme val="minor"/>
      </rPr>
      <t xml:space="preserve">: This quotation is valid for a period of </t>
    </r>
    <r>
      <rPr>
        <b/>
        <sz val="11"/>
        <color theme="1"/>
        <rFont val="Calibri"/>
        <family val="2"/>
        <scheme val="minor"/>
      </rPr>
      <t>30 days</t>
    </r>
    <r>
      <rPr>
        <sz val="11"/>
        <color theme="1"/>
        <rFont val="Calibri"/>
        <family val="2"/>
        <scheme val="minor"/>
      </rPr>
      <t xml:space="preserve"> from the date of issue, unless otherwise specified.</t>
    </r>
  </si>
  <si>
    <r>
      <t>2. Taxes &amp; Duties</t>
    </r>
    <r>
      <rPr>
        <sz val="11"/>
        <color theme="1"/>
        <rFont val="Calibri"/>
        <family val="2"/>
        <scheme val="minor"/>
      </rPr>
      <t xml:space="preserve">: All prices are </t>
    </r>
    <r>
      <rPr>
        <b/>
        <sz val="11"/>
        <color theme="1"/>
        <rFont val="Calibri"/>
        <family val="2"/>
        <scheme val="minor"/>
      </rPr>
      <t>exclusive of GST, duties, and other government levies</t>
    </r>
    <r>
      <rPr>
        <sz val="11"/>
        <color theme="1"/>
        <rFont val="Calibri"/>
        <family val="2"/>
        <scheme val="minor"/>
      </rPr>
      <t>, which will be charged extra at applicable rates.</t>
    </r>
  </si>
  <si>
    <r>
      <t>3. Payment Terms</t>
    </r>
    <r>
      <rPr>
        <sz val="11"/>
        <color theme="1"/>
        <rFont val="Calibri"/>
        <family val="2"/>
        <scheme val="minor"/>
      </rPr>
      <t>:</t>
    </r>
  </si>
  <si>
    <r>
      <t>6. Design &amp; Customization</t>
    </r>
    <r>
      <rPr>
        <sz val="11"/>
        <color theme="1"/>
        <rFont val="Calibri"/>
        <family val="2"/>
        <scheme val="minor"/>
      </rPr>
      <t>: Any changes in design, finish, or dimensions after confirmation may affect cost and delivery schedule.</t>
    </r>
  </si>
  <si>
    <r>
      <t>9. Cancellations</t>
    </r>
    <r>
      <rPr>
        <sz val="11"/>
        <color theme="1"/>
        <rFont val="Calibri"/>
        <family val="2"/>
        <scheme val="minor"/>
      </rPr>
      <t xml:space="preserve">: Orders once confirmed cannot be cancelled. Advance payments are </t>
    </r>
    <r>
      <rPr>
        <b/>
        <sz val="11"/>
        <color theme="1"/>
        <rFont val="Calibri"/>
        <family val="2"/>
        <scheme val="minor"/>
      </rPr>
      <t>non-refundable</t>
    </r>
    <r>
      <rPr>
        <sz val="11"/>
        <color theme="1"/>
        <rFont val="Calibri"/>
        <family val="2"/>
        <scheme val="minor"/>
      </rPr>
      <t>.</t>
    </r>
  </si>
  <si>
    <r>
      <t xml:space="preserve">5. Transportation </t>
    </r>
    <r>
      <rPr>
        <sz val="11"/>
        <color theme="1"/>
        <rFont val="Calibri"/>
        <family val="2"/>
        <scheme val="minor"/>
      </rPr>
      <t>: Extra charges will apply for transportation and unloading unless otherwise stated.</t>
    </r>
  </si>
  <si>
    <r>
      <t>10. Jurisdiction</t>
    </r>
    <r>
      <rPr>
        <sz val="11"/>
        <color theme="1"/>
        <rFont val="Calibri"/>
        <family val="2"/>
        <scheme val="minor"/>
      </rPr>
      <t xml:space="preserve">: All disputes are subject to the </t>
    </r>
    <r>
      <rPr>
        <b/>
        <sz val="11"/>
        <color theme="1"/>
        <rFont val="Calibri"/>
        <family val="2"/>
        <scheme val="minor"/>
      </rPr>
      <t>local jurisdiction of [Udaipur / Rajasthan] courts</t>
    </r>
    <r>
      <rPr>
        <sz val="11"/>
        <color theme="1"/>
        <rFont val="Calibri"/>
        <family val="2"/>
        <scheme val="minor"/>
      </rPr>
      <t xml:space="preserve"> only.</t>
    </r>
  </si>
  <si>
    <t>11. Wood Used : White Ash / Teak in visible part , Hardwood in Strucutre</t>
  </si>
  <si>
    <t>12. Foam : Feather Foam</t>
  </si>
  <si>
    <t xml:space="preserve">13. Finish : PU / Powder Coat </t>
  </si>
  <si>
    <r>
      <t>4. Delivery Period</t>
    </r>
    <r>
      <rPr>
        <sz val="11"/>
        <color theme="1"/>
        <rFont val="Calibri"/>
        <family val="2"/>
        <scheme val="minor"/>
      </rPr>
      <t xml:space="preserve">: 6-8 Weeks , Delivery timeline will commence from the date of </t>
    </r>
    <r>
      <rPr>
        <b/>
        <sz val="11"/>
        <color theme="1"/>
        <rFont val="Calibri"/>
        <family val="2"/>
        <scheme val="minor"/>
      </rPr>
      <t>receipt of advance payment</t>
    </r>
    <r>
      <rPr>
        <sz val="11"/>
        <color theme="1"/>
        <rFont val="Calibri"/>
        <family val="2"/>
        <scheme val="minor"/>
      </rPr>
      <t xml:space="preserve"> and final approval of drawings/specifications (if applicable).</t>
    </r>
  </si>
  <si>
    <r>
      <t>7. Warranty</t>
    </r>
    <r>
      <rPr>
        <sz val="11"/>
        <color theme="1"/>
        <rFont val="Calibri"/>
        <family val="2"/>
        <scheme val="minor"/>
      </rPr>
      <t xml:space="preserve">: Products are warranted against manufacturing defects for </t>
    </r>
    <r>
      <rPr>
        <b/>
        <sz val="11"/>
        <color theme="1"/>
        <rFont val="Calibri"/>
        <family val="2"/>
        <scheme val="minor"/>
      </rPr>
      <t>60 months</t>
    </r>
    <r>
      <rPr>
        <sz val="11"/>
        <color theme="1"/>
        <rFont val="Calibri"/>
        <family val="2"/>
        <scheme val="minor"/>
      </rPr>
      <t xml:space="preserve"> under normal usage. Warranty does not cover wear &amp; tear, misuse, mishandling, or exposure to moisture/heat.</t>
    </r>
  </si>
  <si>
    <r>
      <t>70% advance</t>
    </r>
    <r>
      <rPr>
        <sz val="11"/>
        <color theme="1"/>
        <rFont val="Calibri"/>
        <family val="2"/>
        <scheme val="minor"/>
      </rPr>
      <t xml:space="preserve"> at the time of order confirmation.</t>
    </r>
  </si>
  <si>
    <t>20% During Production Phase</t>
  </si>
  <si>
    <t>10% Before Dispatch</t>
  </si>
  <si>
    <t xml:space="preserve">8. Ownership of goods remains with ARTEN SPACE until full payment is received. </t>
  </si>
  <si>
    <t xml:space="preserve">     If the client fails to take delivery within 30 days, ARTEN SPACE reserves the right to sell the items to recover costs, and any advance paid may be forfeited.</t>
  </si>
  <si>
    <r>
      <t xml:space="preserve">    Once the furniture is ready for dispatch, it must be </t>
    </r>
    <r>
      <rPr>
        <b/>
        <sz val="11"/>
        <color theme="1"/>
        <rFont val="Calibri"/>
        <family val="2"/>
        <scheme val="minor"/>
      </rPr>
      <t>dispatched within 7 days of readiness. If dispatch is delayed beyond 7 days, storage charges will apply.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</si>
</sst>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"/>
    <numFmt numFmtId="165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19" xfId="0" applyBorder="1"/>
    <xf numFmtId="0" fontId="0" fillId="0" borderId="20" xfId="0" applyBorder="1"/>
    <xf numFmtId="0" fontId="1" fillId="0" borderId="1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16" xfId="0" applyFont="1" applyBorder="1"/>
    <xf numFmtId="0" fontId="1" fillId="0" borderId="16" xfId="0" applyFont="1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0" fillId="0" borderId="16" xfId="0" applyFont="1" applyFill="1" applyBorder="1"/>
    <xf numFmtId="0" fontId="0" fillId="0" borderId="18" xfId="0" applyFont="1" applyFill="1" applyBorder="1"/>
    <xf numFmtId="0" fontId="1" fillId="0" borderId="16" xfId="0" applyFont="1" applyBorder="1" applyAlignment="1"/>
    <xf numFmtId="0" fontId="0" fillId="0" borderId="16" xfId="0" applyFont="1" applyBorder="1" applyAlignment="1"/>
    <xf numFmtId="0" fontId="0" fillId="0" borderId="0" xfId="0" applyFont="1" applyBorder="1"/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11206</xdr:colOff>
      <xdr:row>3</xdr:row>
      <xdr:rowOff>11206</xdr:rowOff>
    </xdr:from>
    <xdr:to>
      <xdr:col>3</xdr:col>
      <xdr:colOff>302559</xdr:colOff>
      <xdr:row>4</xdr:row>
      <xdr:rowOff>190685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FB49E-941B-49DC-A3EF-9B0E2A734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406" y="592231"/>
          <a:ext cx="900953" cy="369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4C761-511B-4D0B-A3DA-6DD5E9763EB0}">
  <dimension ref="B3:K53"/>
  <sheetViews>
    <sheetView tabSelected="1" topLeftCell="A31" workbookViewId="0">
      <selection activeCell="C35" sqref="C35:K53"/>
    </sheetView>
  </sheetViews>
  <sheetFormatPr defaultRowHeight="15" x14ac:dyDescent="0.25"/>
  <cols>
    <col min="4" max="5" width="25" customWidth="1"/>
    <col min="6" max="6" width="31.140625" customWidth="1"/>
    <col min="7" max="7" width="28.140625" customWidth="1"/>
    <col min="8" max="8" width="10.7109375" bestFit="1" customWidth="1"/>
    <col min="10" max="10" width="14.7109375" customWidth="1"/>
    <col min="11" max="11" width="19.42578125" customWidth="1"/>
  </cols>
  <sheetData>
    <row r="3" spans="3:11" ht="15.75" thickBot="1" x14ac:dyDescent="0.3"/>
    <row r="4" spans="3:11" ht="15" customHeight="1" x14ac:dyDescent="0.25">
      <c r="C4" s="67" t="s">
        <v>14</v>
      </c>
      <c r="D4" s="68"/>
      <c r="E4" s="68"/>
      <c r="F4" s="68"/>
      <c r="G4" s="68"/>
      <c r="H4" s="68"/>
      <c r="I4" s="68"/>
      <c r="J4" s="68"/>
      <c r="K4" s="69"/>
    </row>
    <row r="5" spans="3:11" ht="15.75" customHeight="1" thickBot="1" x14ac:dyDescent="0.3">
      <c r="C5" s="70"/>
      <c r="D5" s="71"/>
      <c r="E5" s="71"/>
      <c r="F5" s="71"/>
      <c r="G5" s="71"/>
      <c r="H5" s="71"/>
      <c r="I5" s="71"/>
      <c r="J5" s="71"/>
      <c r="K5" s="72"/>
    </row>
    <row r="6" spans="3:11" ht="15.75" thickBot="1" x14ac:dyDescent="0.3">
      <c r="C6" s="17"/>
      <c r="D6" s="18"/>
      <c r="E6" s="18"/>
      <c r="F6" s="18"/>
      <c r="G6" s="18"/>
      <c r="H6" s="18"/>
      <c r="I6" s="18"/>
      <c r="J6" s="18"/>
      <c r="K6" s="19"/>
    </row>
    <row r="7" spans="3:11" ht="15" customHeight="1" x14ac:dyDescent="0.25">
      <c r="C7" s="67" t="s">
        <v>0</v>
      </c>
      <c r="D7" s="68"/>
      <c r="E7" s="68"/>
      <c r="F7" s="68"/>
      <c r="G7" s="68"/>
      <c r="H7" s="68"/>
      <c r="I7" s="68"/>
      <c r="J7" s="68"/>
      <c r="K7" s="69"/>
    </row>
    <row r="8" spans="3:11" ht="17.25" customHeight="1" thickBot="1" x14ac:dyDescent="0.3">
      <c r="C8" s="73"/>
      <c r="D8" s="74"/>
      <c r="E8" s="74"/>
      <c r="F8" s="74"/>
      <c r="G8" s="74"/>
      <c r="H8" s="74"/>
      <c r="I8" s="74"/>
      <c r="J8" s="74"/>
      <c r="K8" s="75"/>
    </row>
    <row r="9" spans="3:11" ht="15.75" thickBot="1" x14ac:dyDescent="0.3">
      <c r="C9" s="21"/>
      <c r="D9" s="20"/>
      <c r="E9" s="20"/>
      <c r="F9" s="20"/>
      <c r="G9" s="20"/>
      <c r="H9" s="20"/>
      <c r="I9" s="20"/>
      <c r="J9" s="20"/>
      <c r="K9" s="22"/>
    </row>
    <row r="10" spans="3:11" ht="15.75" thickBot="1" x14ac:dyDescent="0.3">
      <c r="C10" s="76" t="s">
        <v>1</v>
      </c>
      <c r="D10" s="77"/>
      <c r="E10" s="78"/>
      <c r="F10" s="78"/>
      <c r="G10" s="78"/>
      <c r="H10" s="78"/>
      <c r="I10" s="76" t="s">
        <v>2</v>
      </c>
      <c r="J10" s="77"/>
      <c r="K10" s="40">
        <f ca="1">TODAY()</f>
        <v>45902</v>
      </c>
    </row>
    <row r="11" spans="3:11" ht="15.75" thickBot="1" x14ac:dyDescent="0.3">
      <c r="C11" s="76"/>
      <c r="D11" s="79"/>
      <c r="E11" s="79"/>
      <c r="F11" s="79"/>
      <c r="G11" s="79"/>
      <c r="H11" s="79"/>
      <c r="I11" s="79"/>
      <c r="J11" s="79"/>
      <c r="K11" s="77"/>
    </row>
    <row r="12" spans="3:11" ht="15.75" thickBot="1" x14ac:dyDescent="0.3">
      <c r="C12" s="41" t="s">
        <v>3</v>
      </c>
      <c r="D12" s="42" t="s">
        <v>4</v>
      </c>
      <c r="E12" s="42" t="s">
        <v>10</v>
      </c>
      <c r="F12" s="42" t="s">
        <v>5</v>
      </c>
      <c r="G12" s="42" t="s">
        <v>16</v>
      </c>
      <c r="H12" s="42" t="s">
        <v>6</v>
      </c>
      <c r="I12" s="42" t="s">
        <v>7</v>
      </c>
      <c r="J12" s="42" t="s">
        <v>8</v>
      </c>
      <c r="K12" s="43" t="s">
        <v>9</v>
      </c>
    </row>
    <row r="13" spans="3:11" ht="150.75" customHeight="1" x14ac:dyDescent="0.25">
      <c r="C13" s="26">
        <v>1</v>
      </c>
      <c r="D13" s="27"/>
      <c r="E13" s="27"/>
      <c r="F13" s="28"/>
      <c r="G13" s="45"/>
      <c r="H13" s="37"/>
      <c r="I13" s="27"/>
      <c r="J13" s="29"/>
      <c r="K13" s="30"/>
    </row>
    <row r="14" spans="3:11" ht="150.75" customHeight="1" x14ac:dyDescent="0.25">
      <c r="C14" s="1">
        <f>C13+1</f>
        <v>2</v>
      </c>
      <c r="D14" s="3"/>
      <c r="E14" s="3"/>
      <c r="F14" s="3"/>
      <c r="G14" s="44"/>
      <c r="H14" s="38"/>
      <c r="I14" s="3"/>
      <c r="J14" s="4"/>
      <c r="K14" s="6"/>
    </row>
    <row r="15" spans="3:11" ht="150.75" customHeight="1" x14ac:dyDescent="0.25">
      <c r="C15" s="1">
        <f t="shared" ref="C15:C30" si="0">C14+1</f>
        <v>3</v>
      </c>
      <c r="D15" s="3"/>
      <c r="E15" s="3"/>
      <c r="F15" s="3"/>
      <c r="G15" s="44"/>
      <c r="H15" s="38"/>
      <c r="I15" s="3"/>
      <c r="J15" s="4"/>
      <c r="K15" s="5"/>
    </row>
    <row r="16" spans="3:11" ht="150.75" customHeight="1" x14ac:dyDescent="0.25">
      <c r="C16" s="1">
        <f t="shared" si="0"/>
        <v>4</v>
      </c>
      <c r="D16" s="3"/>
      <c r="E16" s="3"/>
      <c r="F16" s="3"/>
      <c r="G16" s="44"/>
      <c r="H16" s="38"/>
      <c r="I16" s="3"/>
      <c r="J16" s="4"/>
      <c r="K16" s="24"/>
    </row>
    <row r="17" spans="2:11" ht="150.75" customHeight="1" x14ac:dyDescent="0.25">
      <c r="C17" s="1">
        <f t="shared" si="0"/>
        <v>5</v>
      </c>
      <c r="D17" s="3"/>
      <c r="E17" s="3"/>
      <c r="F17" s="3"/>
      <c r="G17" s="44"/>
      <c r="H17" s="38"/>
      <c r="I17" s="3"/>
      <c r="J17" s="4"/>
      <c r="K17" s="24"/>
    </row>
    <row r="18" spans="2:11" ht="150.75" customHeight="1" x14ac:dyDescent="0.25">
      <c r="C18" s="1">
        <f t="shared" si="0"/>
        <v>6</v>
      </c>
      <c r="D18" s="3"/>
      <c r="E18" s="3"/>
      <c r="F18" s="3"/>
      <c r="G18" s="44"/>
      <c r="H18" s="38"/>
      <c r="I18" s="3"/>
      <c r="J18" s="4"/>
      <c r="K18" s="24"/>
    </row>
    <row r="19" spans="2:11" ht="150.75" customHeight="1" x14ac:dyDescent="0.25">
      <c r="C19" s="1">
        <f t="shared" si="0"/>
        <v>7</v>
      </c>
      <c r="D19" s="3"/>
      <c r="E19" s="3"/>
      <c r="F19" s="3"/>
      <c r="G19" s="44"/>
      <c r="H19" s="38"/>
      <c r="I19" s="3"/>
      <c r="J19" s="4"/>
      <c r="K19" s="24"/>
    </row>
    <row r="20" spans="2:11" ht="150.75" customHeight="1" x14ac:dyDescent="0.25">
      <c r="C20" s="1">
        <f t="shared" si="0"/>
        <v>8</v>
      </c>
      <c r="D20" s="3"/>
      <c r="E20" s="3"/>
      <c r="F20" s="3"/>
      <c r="G20" s="44"/>
      <c r="H20" s="38"/>
      <c r="I20" s="3"/>
      <c r="J20" s="4"/>
      <c r="K20" s="24"/>
    </row>
    <row r="21" spans="2:11" ht="150.75" customHeight="1" x14ac:dyDescent="0.25">
      <c r="C21" s="1">
        <f t="shared" si="0"/>
        <v>9</v>
      </c>
      <c r="D21" s="3"/>
      <c r="E21" s="3"/>
      <c r="F21" s="3"/>
      <c r="G21" s="44"/>
      <c r="H21" s="38"/>
      <c r="I21" s="3"/>
      <c r="J21" s="4"/>
      <c r="K21" s="24"/>
    </row>
    <row r="22" spans="2:11" ht="150.75" customHeight="1" x14ac:dyDescent="0.25">
      <c r="C22" s="1">
        <f t="shared" si="0"/>
        <v>10</v>
      </c>
      <c r="D22" s="2"/>
      <c r="E22" s="3"/>
      <c r="F22" s="3"/>
      <c r="G22" s="44"/>
      <c r="H22" s="38"/>
      <c r="I22" s="3"/>
      <c r="J22" s="4"/>
      <c r="K22" s="24"/>
    </row>
    <row r="23" spans="2:11" ht="150.75" customHeight="1" x14ac:dyDescent="0.25">
      <c r="C23" s="1">
        <f t="shared" si="0"/>
        <v>11</v>
      </c>
      <c r="D23" s="2"/>
      <c r="E23" s="3"/>
      <c r="F23" s="3"/>
      <c r="G23" s="44"/>
      <c r="H23" s="38"/>
      <c r="I23" s="3"/>
      <c r="J23" s="4"/>
      <c r="K23" s="24"/>
    </row>
    <row r="24" spans="2:11" ht="150.75" customHeight="1" x14ac:dyDescent="0.25">
      <c r="C24" s="1">
        <f t="shared" si="0"/>
        <v>12</v>
      </c>
      <c r="D24" s="2"/>
      <c r="E24" s="3"/>
      <c r="F24" s="3"/>
      <c r="G24" s="44"/>
      <c r="H24" s="38"/>
      <c r="I24" s="3"/>
      <c r="J24" s="4"/>
      <c r="K24" s="24"/>
    </row>
    <row r="25" spans="2:11" ht="150.75" customHeight="1" x14ac:dyDescent="0.25">
      <c r="C25" s="1">
        <f t="shared" si="0"/>
        <v>13</v>
      </c>
      <c r="D25" s="2"/>
      <c r="E25" s="3"/>
      <c r="F25" s="3"/>
      <c r="G25" s="44"/>
      <c r="H25" s="38"/>
      <c r="I25" s="3"/>
      <c r="J25" s="4"/>
      <c r="K25" s="24"/>
    </row>
    <row r="26" spans="2:11" ht="150.75" customHeight="1" x14ac:dyDescent="0.25">
      <c r="B26" s="23">
        <f>3*3*350+15*(180+100+350)</f>
        <v>12600</v>
      </c>
      <c r="C26" s="1">
        <f t="shared" si="0"/>
        <v>14</v>
      </c>
      <c r="D26" s="2"/>
      <c r="E26" s="3"/>
      <c r="F26" s="3"/>
      <c r="G26" s="44"/>
      <c r="H26" s="38"/>
      <c r="I26" s="3"/>
      <c r="J26" s="4"/>
      <c r="K26" s="33"/>
    </row>
    <row r="27" spans="2:11" ht="150.75" customHeight="1" x14ac:dyDescent="0.25">
      <c r="C27" s="1">
        <f t="shared" si="0"/>
        <v>15</v>
      </c>
      <c r="D27" s="2"/>
      <c r="E27" s="3"/>
      <c r="F27" s="3"/>
      <c r="G27" s="44"/>
      <c r="H27" s="38"/>
      <c r="I27" s="3"/>
      <c r="J27" s="4"/>
      <c r="K27" s="33"/>
    </row>
    <row r="28" spans="2:11" ht="150.75" customHeight="1" x14ac:dyDescent="0.25">
      <c r="C28" s="1">
        <f t="shared" si="0"/>
        <v>16</v>
      </c>
      <c r="D28" s="2"/>
      <c r="E28" s="3"/>
      <c r="F28" s="3"/>
      <c r="G28" s="44"/>
      <c r="H28" s="38"/>
      <c r="I28" s="3"/>
      <c r="J28" s="4"/>
      <c r="K28" s="24"/>
    </row>
    <row r="29" spans="2:11" ht="150.75" customHeight="1" x14ac:dyDescent="0.25">
      <c r="C29" s="1">
        <f t="shared" si="0"/>
        <v>17</v>
      </c>
      <c r="D29" s="2"/>
      <c r="E29" s="3"/>
      <c r="F29" s="3"/>
      <c r="G29" s="44"/>
      <c r="H29" s="38"/>
      <c r="I29" s="3"/>
      <c r="J29" s="4"/>
      <c r="K29" s="6"/>
    </row>
    <row r="30" spans="2:11" ht="150.75" customHeight="1" thickBot="1" x14ac:dyDescent="0.3">
      <c r="C30" s="7">
        <f t="shared" si="0"/>
        <v>18</v>
      </c>
      <c r="D30" s="8"/>
      <c r="E30" s="47"/>
      <c r="F30" s="9"/>
      <c r="G30" s="46"/>
      <c r="H30" s="39"/>
      <c r="I30" s="9"/>
      <c r="J30" s="34"/>
      <c r="K30" s="35"/>
    </row>
    <row r="31" spans="2:11" x14ac:dyDescent="0.25">
      <c r="H31" s="58" t="s">
        <v>11</v>
      </c>
      <c r="I31" s="59"/>
      <c r="J31" s="36">
        <f>SUM(J13:J30)</f>
        <v>0</v>
      </c>
    </row>
    <row r="32" spans="2:11" x14ac:dyDescent="0.25">
      <c r="H32" s="60" t="s">
        <v>12</v>
      </c>
      <c r="I32" s="61"/>
      <c r="J32" s="31">
        <f>J31*0.18</f>
        <v>0</v>
      </c>
    </row>
    <row r="33" spans="3:11" ht="15.75" thickBot="1" x14ac:dyDescent="0.3">
      <c r="H33" s="62" t="s">
        <v>13</v>
      </c>
      <c r="I33" s="63"/>
      <c r="J33" s="32">
        <f>J32+J31</f>
        <v>0</v>
      </c>
    </row>
    <row r="34" spans="3:11" ht="15.75" thickBot="1" x14ac:dyDescent="0.3">
      <c r="J34" s="25"/>
    </row>
    <row r="35" spans="3:11" ht="15.75" thickBot="1" x14ac:dyDescent="0.3">
      <c r="C35" s="64" t="s">
        <v>15</v>
      </c>
      <c r="D35" s="65"/>
      <c r="E35" s="65"/>
      <c r="F35" s="65"/>
      <c r="G35" s="65"/>
      <c r="H35" s="65"/>
      <c r="I35" s="65"/>
      <c r="J35" s="65"/>
      <c r="K35" s="66"/>
    </row>
    <row r="36" spans="3:11" x14ac:dyDescent="0.25">
      <c r="C36" s="16" t="s">
        <v>17</v>
      </c>
      <c r="D36" s="10"/>
      <c r="E36" s="10"/>
      <c r="F36" s="10"/>
      <c r="G36" s="10"/>
      <c r="H36" s="10"/>
      <c r="I36" s="10"/>
      <c r="J36" s="10"/>
      <c r="K36" s="11"/>
    </row>
    <row r="37" spans="3:11" x14ac:dyDescent="0.25">
      <c r="C37" s="50" t="s">
        <v>18</v>
      </c>
      <c r="D37" s="48"/>
      <c r="E37" s="48"/>
      <c r="F37" s="48"/>
      <c r="G37" s="48"/>
      <c r="H37" s="48"/>
      <c r="I37" s="48"/>
      <c r="J37" s="48"/>
      <c r="K37" s="12"/>
    </row>
    <row r="38" spans="3:11" x14ac:dyDescent="0.25">
      <c r="C38" s="50" t="s">
        <v>19</v>
      </c>
      <c r="D38" s="48"/>
      <c r="E38" s="48"/>
      <c r="F38" s="48"/>
      <c r="G38" s="48"/>
      <c r="H38" s="48"/>
      <c r="I38" s="48"/>
      <c r="J38" s="48"/>
      <c r="K38" s="12"/>
    </row>
    <row r="39" spans="3:11" x14ac:dyDescent="0.25">
      <c r="C39" s="51" t="s">
        <v>29</v>
      </c>
      <c r="D39" s="49"/>
      <c r="E39" s="49"/>
      <c r="F39" s="49"/>
      <c r="G39" s="49"/>
      <c r="H39" s="49"/>
      <c r="I39" s="49"/>
      <c r="J39" s="49"/>
      <c r="K39" s="13"/>
    </row>
    <row r="40" spans="3:11" x14ac:dyDescent="0.25">
      <c r="C40" s="52" t="s">
        <v>30</v>
      </c>
      <c r="D40" s="48"/>
      <c r="E40" s="48"/>
      <c r="F40" s="48"/>
      <c r="G40" s="48"/>
      <c r="H40" s="48"/>
      <c r="I40" s="48"/>
      <c r="J40" s="48"/>
      <c r="K40" s="12"/>
    </row>
    <row r="41" spans="3:11" x14ac:dyDescent="0.25">
      <c r="C41" s="52" t="s">
        <v>31</v>
      </c>
      <c r="D41" s="48"/>
      <c r="E41" s="48"/>
      <c r="F41" s="48"/>
      <c r="G41" s="48"/>
      <c r="H41" s="48"/>
      <c r="I41" s="48"/>
      <c r="J41" s="48"/>
      <c r="K41" s="12"/>
    </row>
    <row r="42" spans="3:11" x14ac:dyDescent="0.25">
      <c r="C42" s="50" t="s">
        <v>27</v>
      </c>
      <c r="D42" s="48"/>
      <c r="E42" s="48"/>
      <c r="F42" s="48"/>
      <c r="G42" s="48"/>
      <c r="H42" s="48"/>
      <c r="I42" s="48"/>
      <c r="J42" s="48"/>
      <c r="K42" s="12"/>
    </row>
    <row r="43" spans="3:11" x14ac:dyDescent="0.25">
      <c r="C43" s="50" t="s">
        <v>22</v>
      </c>
      <c r="D43" s="48"/>
      <c r="E43" s="48"/>
      <c r="F43" s="48"/>
      <c r="G43" s="48"/>
      <c r="H43" s="48"/>
      <c r="I43" s="48"/>
      <c r="J43" s="48"/>
      <c r="K43" s="12"/>
    </row>
    <row r="44" spans="3:11" x14ac:dyDescent="0.25">
      <c r="C44" s="50" t="s">
        <v>20</v>
      </c>
      <c r="D44" s="48"/>
      <c r="E44" s="48"/>
      <c r="F44" s="48"/>
      <c r="G44" s="48"/>
      <c r="H44" s="48"/>
      <c r="I44" s="48"/>
      <c r="J44" s="48"/>
      <c r="K44" s="12"/>
    </row>
    <row r="45" spans="3:11" x14ac:dyDescent="0.25">
      <c r="C45" s="50" t="s">
        <v>28</v>
      </c>
      <c r="D45" s="48"/>
      <c r="E45" s="48"/>
      <c r="F45" s="48"/>
      <c r="G45" s="48"/>
      <c r="H45" s="48"/>
      <c r="I45" s="48"/>
      <c r="J45" s="48"/>
      <c r="K45" s="12"/>
    </row>
    <row r="46" spans="3:11" x14ac:dyDescent="0.25">
      <c r="C46" s="55" t="s">
        <v>32</v>
      </c>
      <c r="D46" s="48"/>
      <c r="E46" s="48"/>
      <c r="F46" s="48"/>
      <c r="G46" s="48"/>
      <c r="H46" s="48"/>
      <c r="I46" s="48"/>
      <c r="J46" s="48"/>
      <c r="K46" s="12"/>
    </row>
    <row r="47" spans="3:11" x14ac:dyDescent="0.25">
      <c r="C47" s="56" t="s">
        <v>34</v>
      </c>
      <c r="D47" s="57"/>
      <c r="E47" s="57"/>
      <c r="F47" s="57"/>
      <c r="G47" s="57"/>
      <c r="H47" s="57"/>
      <c r="I47" s="57"/>
      <c r="J47" s="48"/>
      <c r="K47" s="12"/>
    </row>
    <row r="48" spans="3:11" x14ac:dyDescent="0.25">
      <c r="C48" s="56" t="s">
        <v>33</v>
      </c>
      <c r="D48" s="57"/>
      <c r="E48" s="57"/>
      <c r="F48" s="57"/>
      <c r="G48" s="57"/>
      <c r="H48" s="57"/>
      <c r="I48" s="57"/>
      <c r="J48" s="48"/>
      <c r="K48" s="12"/>
    </row>
    <row r="49" spans="3:11" x14ac:dyDescent="0.25">
      <c r="C49" s="50" t="s">
        <v>21</v>
      </c>
      <c r="D49" s="48"/>
      <c r="E49" s="48"/>
      <c r="F49" s="48"/>
      <c r="G49" s="48"/>
      <c r="H49" s="48"/>
      <c r="I49" s="48"/>
      <c r="J49" s="48"/>
      <c r="K49" s="12"/>
    </row>
    <row r="50" spans="3:11" x14ac:dyDescent="0.25">
      <c r="C50" s="50" t="s">
        <v>23</v>
      </c>
      <c r="D50" s="48"/>
      <c r="E50" s="48"/>
      <c r="F50" s="48"/>
      <c r="G50" s="48"/>
      <c r="H50" s="48"/>
      <c r="I50" s="48"/>
      <c r="J50" s="48"/>
      <c r="K50" s="12"/>
    </row>
    <row r="51" spans="3:11" x14ac:dyDescent="0.25">
      <c r="C51" s="53" t="s">
        <v>24</v>
      </c>
      <c r="D51" s="48"/>
      <c r="E51" s="48"/>
      <c r="F51" s="48"/>
      <c r="G51" s="48"/>
      <c r="H51" s="48"/>
      <c r="I51" s="48"/>
      <c r="J51" s="48"/>
      <c r="K51" s="12"/>
    </row>
    <row r="52" spans="3:11" x14ac:dyDescent="0.25">
      <c r="C52" s="53" t="s">
        <v>25</v>
      </c>
      <c r="D52" s="48"/>
      <c r="E52" s="48"/>
      <c r="F52" s="48"/>
      <c r="G52" s="48"/>
      <c r="H52" s="48"/>
      <c r="I52" s="48"/>
      <c r="J52" s="48"/>
      <c r="K52" s="12"/>
    </row>
    <row r="53" spans="3:11" ht="15.75" thickBot="1" x14ac:dyDescent="0.3">
      <c r="C53" s="54" t="s">
        <v>26</v>
      </c>
      <c r="D53" s="14"/>
      <c r="E53" s="14"/>
      <c r="F53" s="14"/>
      <c r="G53" s="14"/>
      <c r="H53" s="14"/>
      <c r="I53" s="14"/>
      <c r="J53" s="14"/>
      <c r="K53" s="15"/>
    </row>
  </sheetData>
  <mergeCells count="10">
    <mergeCell ref="H31:I31"/>
    <mergeCell ref="H32:I32"/>
    <mergeCell ref="H33:I33"/>
    <mergeCell ref="C35:K35"/>
    <mergeCell ref="C4:K5"/>
    <mergeCell ref="C7:K8"/>
    <mergeCell ref="C10:D10"/>
    <mergeCell ref="E10:H10"/>
    <mergeCell ref="I10:J10"/>
    <mergeCell ref="C11:K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CF26CC-D87F-4D3D-801B-D06A2741C8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nagda</dc:creator>
  <cp:lastModifiedBy>pc</cp:lastModifiedBy>
  <cp:lastPrinted>2025-08-22T10:25:26Z</cp:lastPrinted>
  <dcterms:created xsi:type="dcterms:W3CDTF">2015-06-05T18:17:20Z</dcterms:created>
  <dcterms:modified xsi:type="dcterms:W3CDTF">2025-09-02T09:55:32Z</dcterms:modified>
</cp:coreProperties>
</file>